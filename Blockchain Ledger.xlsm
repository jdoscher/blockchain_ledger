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\Documents\GitHub\blockchain_ledger\"/>
    </mc:Choice>
  </mc:AlternateContent>
  <xr:revisionPtr revIDLastSave="0" documentId="10_ncr:8100000_{002551C9-447E-4F44-B193-80B06F8C9C25}" xr6:coauthVersionLast="32" xr6:coauthVersionMax="32" xr10:uidLastSave="{00000000-0000-0000-0000-000000000000}"/>
  <bookViews>
    <workbookView xWindow="0" yWindow="0" windowWidth="28800" windowHeight="12360" activeTab="2" xr2:uid="{00000000-000D-0000-FFFF-FFFF00000000}"/>
  </bookViews>
  <sheets>
    <sheet name="Q1 2018" sheetId="1" r:id="rId1"/>
    <sheet name="Control Panel" sheetId="2" r:id="rId2"/>
    <sheet name="Donate Please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 s="1"/>
  <c r="O5" i="1" s="1"/>
  <c r="O6" i="1" s="1"/>
  <c r="O7" i="1" s="1"/>
  <c r="N3" i="1"/>
  <c r="N4" i="1" s="1"/>
  <c r="N5" i="1" s="1"/>
  <c r="N6" i="1" s="1"/>
  <c r="N7" i="1" s="1"/>
  <c r="M3" i="1"/>
  <c r="M4" i="1" s="1"/>
  <c r="M5" i="1" s="1"/>
  <c r="M6" i="1" s="1"/>
  <c r="M7" i="1" s="1"/>
  <c r="L3" i="1"/>
  <c r="L4" i="1" s="1"/>
  <c r="L5" i="1" s="1"/>
  <c r="L6" i="1" s="1"/>
  <c r="L7" i="1" s="1"/>
  <c r="D3" i="1"/>
  <c r="D4" i="1"/>
  <c r="D5" i="1"/>
  <c r="D6" i="1"/>
  <c r="D7" i="1"/>
  <c r="D2" i="1"/>
  <c r="K2" i="1" l="1"/>
  <c r="P2" i="1"/>
  <c r="K3" i="1" l="1"/>
  <c r="S3" i="1"/>
  <c r="S4" i="1"/>
  <c r="S5" i="1"/>
  <c r="S6" i="1"/>
  <c r="S7" i="1"/>
  <c r="S2" i="1"/>
  <c r="T3" i="1"/>
  <c r="T4" i="1"/>
  <c r="T5" i="1"/>
  <c r="T6" i="1"/>
  <c r="T7" i="1"/>
  <c r="T2" i="1"/>
  <c r="P3" i="1"/>
  <c r="K4" i="1" l="1"/>
  <c r="U4" i="1"/>
  <c r="V4" i="1" s="1"/>
  <c r="W4" i="1" s="1"/>
  <c r="U6" i="1"/>
  <c r="V6" i="1" s="1"/>
  <c r="W6" i="1" s="1"/>
  <c r="U5" i="1"/>
  <c r="V5" i="1" s="1"/>
  <c r="W5" i="1" s="1"/>
  <c r="U7" i="1"/>
  <c r="V7" i="1" s="1"/>
  <c r="W7" i="1" s="1"/>
  <c r="U2" i="1"/>
  <c r="V2" i="1" s="1"/>
  <c r="W2" i="1" s="1"/>
  <c r="U3" i="1"/>
  <c r="V3" i="1" s="1"/>
  <c r="W3" i="1" s="1"/>
  <c r="P4" i="1"/>
  <c r="K5" i="1" l="1"/>
  <c r="P5" i="1"/>
  <c r="K6" i="1" l="1"/>
  <c r="P6" i="1"/>
  <c r="K7" i="1" l="1"/>
  <c r="P7" i="1"/>
</calcChain>
</file>

<file path=xl/sharedStrings.xml><?xml version="1.0" encoding="utf-8"?>
<sst xmlns="http://schemas.openxmlformats.org/spreadsheetml/2006/main" count="59" uniqueCount="42">
  <si>
    <t>Date &amp; Time</t>
  </si>
  <si>
    <t>Ticker</t>
  </si>
  <si>
    <t>Amount</t>
  </si>
  <si>
    <t>Value (USD)</t>
  </si>
  <si>
    <t>VRM</t>
  </si>
  <si>
    <t>Type</t>
  </si>
  <si>
    <t>Sub-Type</t>
  </si>
  <si>
    <t>Sender</t>
  </si>
  <si>
    <t>Recipient</t>
  </si>
  <si>
    <t>Credits</t>
  </si>
  <si>
    <t>Debits - Other</t>
  </si>
  <si>
    <t>Credit</t>
  </si>
  <si>
    <t>Exchange</t>
  </si>
  <si>
    <t>Mining</t>
  </si>
  <si>
    <t>Purchase</t>
  </si>
  <si>
    <t>Option</t>
  </si>
  <si>
    <t>Value</t>
  </si>
  <si>
    <t>Comment</t>
  </si>
  <si>
    <t>Local Currency</t>
  </si>
  <si>
    <t>USD</t>
  </si>
  <si>
    <t>Transaction Balance</t>
  </si>
  <si>
    <t>Lookup value for conversion from currency</t>
  </si>
  <si>
    <t>BTC</t>
  </si>
  <si>
    <t>Coinbase</t>
  </si>
  <si>
    <t>Debits - Expense</t>
  </si>
  <si>
    <t>Expense Description</t>
  </si>
  <si>
    <t>VRM Wallet</t>
  </si>
  <si>
    <t>VRC Wallet</t>
  </si>
  <si>
    <t>BURST Wallet</t>
  </si>
  <si>
    <t>BTC Wallet</t>
  </si>
  <si>
    <t>ETH Wallet</t>
  </si>
  <si>
    <t>Wallet Transaction?</t>
  </si>
  <si>
    <t>Y</t>
  </si>
  <si>
    <t>Invoice Link</t>
  </si>
  <si>
    <t>Wallet Value</t>
  </si>
  <si>
    <t>Capital Gain Tax</t>
  </si>
  <si>
    <t>Capital Gain Tax Rate</t>
  </si>
  <si>
    <t>N</t>
  </si>
  <si>
    <t>BTC: 1AVqD96RNyN94m7JaijPCTxuiMLpTY6urG</t>
  </si>
  <si>
    <t>ETH: 0x2c63154a155bf83A8a32B1650de04f370DD4Edf2</t>
  </si>
  <si>
    <t>BCH: qr8p6m0nzyzv90wpn5lsq6hk8u6kjvzsvyr4jdt9jm</t>
  </si>
  <si>
    <t>VRM: VXC4tHhxYrkdkyn2vWpFeFz2gDHGadh91D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</si>
</sst>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m/d/yy\ h:mm;@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6" fillId="0" borderId="0" applyFill="0" applyProtection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165" fontId="4" fillId="0" borderId="0" xfId="1" applyNumberFormat="1" applyFont="1" applyAlignment="1">
      <alignment horizontal="right"/>
    </xf>
    <xf numFmtId="0" fontId="1" fillId="3" borderId="1" xfId="0" applyFont="1" applyFill="1" applyBorder="1"/>
    <xf numFmtId="164" fontId="1" fillId="2" borderId="1" xfId="0" applyNumberFormat="1" applyFont="1" applyFill="1" applyBorder="1" applyAlignment="1">
      <alignment horizontal="right"/>
    </xf>
    <xf numFmtId="164" fontId="1" fillId="3" borderId="1" xfId="0" applyNumberFormat="1" applyFont="1" applyFill="1" applyBorder="1" applyAlignment="1">
      <alignment horizontal="right"/>
    </xf>
    <xf numFmtId="165" fontId="2" fillId="4" borderId="0" xfId="0" applyNumberFormat="1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2" fillId="4" borderId="0" xfId="0" applyFont="1" applyFill="1" applyAlignment="1">
      <alignment horizontal="right" wrapText="1" indent="1"/>
    </xf>
    <xf numFmtId="9" fontId="1" fillId="0" borderId="0" xfId="0" applyNumberFormat="1" applyFon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66675</xdr:rowOff>
        </xdr:from>
        <xdr:to>
          <xdr:col>3</xdr:col>
          <xdr:colOff>1524000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FINALISE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13" sqref="Q13"/>
    </sheetView>
  </sheetViews>
  <sheetFormatPr defaultColWidth="8.7109375" defaultRowHeight="12.75" outlineLevelCol="1" x14ac:dyDescent="0.2"/>
  <cols>
    <col min="1" max="1" width="16" style="6" customWidth="1"/>
    <col min="2" max="2" width="7.42578125" style="2" customWidth="1"/>
    <col min="3" max="3" width="11.28515625" style="4" customWidth="1"/>
    <col min="4" max="4" width="22.5703125" style="5" customWidth="1"/>
    <col min="5" max="5" width="8.7109375" style="1" customWidth="1"/>
    <col min="6" max="6" width="9.7109375" style="1" bestFit="1" customWidth="1"/>
    <col min="7" max="7" width="11.5703125" style="2" customWidth="1"/>
    <col min="8" max="8" width="8.7109375" style="1" customWidth="1"/>
    <col min="9" max="9" width="11.28515625" style="1" customWidth="1"/>
    <col min="10" max="10" width="9.5703125" style="1" customWidth="1"/>
    <col min="11" max="11" width="9.5703125" style="1" customWidth="1" outlineLevel="1"/>
    <col min="12" max="12" width="8.5703125" style="1" customWidth="1" outlineLevel="1"/>
    <col min="13" max="14" width="9.5703125" style="1" customWidth="1" outlineLevel="1"/>
    <col min="15" max="15" width="9.28515625" style="1" customWidth="1" outlineLevel="1"/>
    <col min="16" max="16" width="13.42578125" style="1" customWidth="1"/>
    <col min="17" max="17" width="29.5703125" style="1" bestFit="1" customWidth="1"/>
    <col min="18" max="18" width="16.140625" style="1" customWidth="1"/>
    <col min="19" max="19" width="16.42578125" style="1" customWidth="1"/>
    <col min="20" max="23" width="13.5703125" style="1" customWidth="1"/>
    <col min="24" max="16384" width="8.7109375" style="1"/>
  </cols>
  <sheetData>
    <row r="1" spans="1:23" s="3" customFormat="1" ht="42" customHeight="1" x14ac:dyDescent="0.2">
      <c r="A1" s="11" t="s">
        <v>0</v>
      </c>
      <c r="B1" s="12" t="s">
        <v>1</v>
      </c>
      <c r="C1" s="12" t="s">
        <v>2</v>
      </c>
      <c r="D1" s="13" t="s">
        <v>3</v>
      </c>
      <c r="E1" s="12" t="s">
        <v>5</v>
      </c>
      <c r="F1" s="12" t="s">
        <v>6</v>
      </c>
      <c r="G1" s="12" t="s">
        <v>31</v>
      </c>
      <c r="H1" s="12" t="s">
        <v>12</v>
      </c>
      <c r="I1" s="12" t="s">
        <v>7</v>
      </c>
      <c r="J1" s="12" t="s">
        <v>8</v>
      </c>
      <c r="K1" s="12" t="s">
        <v>26</v>
      </c>
      <c r="L1" s="12" t="s">
        <v>27</v>
      </c>
      <c r="M1" s="12" t="s">
        <v>28</v>
      </c>
      <c r="N1" s="12" t="s">
        <v>29</v>
      </c>
      <c r="O1" s="12" t="s">
        <v>30</v>
      </c>
      <c r="P1" s="12" t="s">
        <v>34</v>
      </c>
      <c r="Q1" s="12" t="s">
        <v>25</v>
      </c>
      <c r="R1" s="12" t="s">
        <v>33</v>
      </c>
      <c r="S1" s="12" t="s">
        <v>24</v>
      </c>
      <c r="T1" s="12" t="s">
        <v>10</v>
      </c>
      <c r="U1" s="12" t="s">
        <v>9</v>
      </c>
      <c r="V1" s="12" t="s">
        <v>20</v>
      </c>
      <c r="W1" s="12" t="s">
        <v>35</v>
      </c>
    </row>
    <row r="2" spans="1:23" s="3" customFormat="1" x14ac:dyDescent="0.2">
      <c r="A2" s="6">
        <v>43112.029166666667</v>
      </c>
      <c r="B2" s="2" t="s">
        <v>4</v>
      </c>
      <c r="C2" s="4">
        <v>0.85299999999999998</v>
      </c>
      <c r="D2" s="10">
        <f>USDValueAtTime(A2,B2,C2,'Control Panel'!$B$2)</f>
        <v>11.0037</v>
      </c>
      <c r="E2" s="1" t="s">
        <v>11</v>
      </c>
      <c r="F2" s="1" t="s">
        <v>13</v>
      </c>
      <c r="G2" s="2" t="s">
        <v>32</v>
      </c>
      <c r="H2" s="1"/>
      <c r="I2" s="1"/>
      <c r="J2" s="1"/>
      <c r="K2" s="8">
        <f>IF(AND(B2="VRM",E2="Credit",G2="Y"),C2,)</f>
        <v>0.85299999999999998</v>
      </c>
      <c r="L2" s="8"/>
      <c r="M2" s="8"/>
      <c r="N2" s="8"/>
      <c r="O2" s="8"/>
      <c r="P2" s="10">
        <f>USDValueAtTime(A2,"VRM",K2,'Control Panel'!$B$2)+USDValueAtTime(A2,"VRC",L2,'Control Panel'!$B$2)+USDValueAtTime(A2,"BURST",M2,'Control Panel'!$B$2)+USDValueAtTime(A2,"BTC",N2,'Control Panel'!$B$2)+USDValueAtTime(A2,"ETH",O2,'Control Panel'!$B$2)</f>
        <v>11.0037</v>
      </c>
      <c r="Q2" s="1"/>
      <c r="R2" s="1"/>
      <c r="S2" s="10">
        <f t="shared" ref="S2:S7" si="0">IF(AND(E2="Debit", F2="Expense"),D2*-1,)</f>
        <v>0</v>
      </c>
      <c r="T2" s="10">
        <f t="shared" ref="T2:T7" si="1">IF(AND(E2="Debit", F2&lt;&gt;"Expense"),D2*-1,)</f>
        <v>0</v>
      </c>
      <c r="U2" s="10">
        <f t="shared" ref="U2:U7" si="2">IF(E2="Credit",D2,)</f>
        <v>11.0037</v>
      </c>
      <c r="V2" s="10">
        <f t="shared" ref="V2:V3" si="3">SUM(S2:U2)</f>
        <v>11.0037</v>
      </c>
      <c r="W2" s="9">
        <f>IF(V2&gt;0,V2*'Control Panel'!$B$3,)</f>
        <v>1.650555</v>
      </c>
    </row>
    <row r="3" spans="1:23" s="3" customFormat="1" x14ac:dyDescent="0.2">
      <c r="A3" s="6">
        <v>43114.795138888891</v>
      </c>
      <c r="B3" s="2" t="s">
        <v>4</v>
      </c>
      <c r="C3" s="4">
        <v>0.80049999999999999</v>
      </c>
      <c r="D3" s="10">
        <f>USDValueAtTime(A3,B3,C3,'Control Panel'!$B$2)</f>
        <v>10.00625</v>
      </c>
      <c r="E3" s="1" t="s">
        <v>11</v>
      </c>
      <c r="F3" s="1" t="s">
        <v>13</v>
      </c>
      <c r="G3" s="2" t="s">
        <v>32</v>
      </c>
      <c r="H3" s="1"/>
      <c r="I3" s="1"/>
      <c r="J3" s="1"/>
      <c r="K3" s="8">
        <f>IF(AND($B3="VRM",$E3="Credit",$G3="Y"),$C3+K2,IF(AND($B3="VRM",$E3="Debit",$G3="Y"),($C3*-1)+K2,K2))</f>
        <v>1.6535</v>
      </c>
      <c r="L3" s="8">
        <f>IF(AND($B3="VRC",$E3="Credit",$G3="Y"),$C3+L2,IF(AND($B3="VRC",$E3="Debit",$G3="Y"),($C3*-1)+L2,L2))</f>
        <v>0</v>
      </c>
      <c r="M3" s="8">
        <f>IF(AND($B3="BURST",$E3="Credit",$G3="Y"),$C3+M2,IF(AND($B3="BURST",$E3="Debit",$G3="Y"),($C3*-1)+M2,M2))</f>
        <v>0</v>
      </c>
      <c r="N3" s="8">
        <f>IF(AND($B3="BTC",$E3="Credit",$G3="Y"),$C3+N2,IF(AND($B3="BTC",$E3="Debit",$G3="Y"),($C3*-1)+N2,N2))</f>
        <v>0</v>
      </c>
      <c r="O3" s="8">
        <f>IF(AND($B3="ETH",$E3="Credit",$G3="Y"),$C3+O2,IF(AND($B3="ETH",$E3="Debit",$G3="Y"),($C3*-1)+O2,O2))</f>
        <v>0</v>
      </c>
      <c r="P3" s="10">
        <f>USDValueAtTime(A3,"VRM",K3,'Control Panel'!$B$2)+USDValueAtTime(A3,"VRC",L3,'Control Panel'!$B$2)+USDValueAtTime(A3,"BURST",M3,'Control Panel'!$B$2)+USDValueAtTime(A3,"BTC",N3,'Control Panel'!$B$2)+USDValueAtTime(A3,"ETH",O3,'Control Panel'!$B$2)</f>
        <v>20.668749999999999</v>
      </c>
      <c r="Q3" s="1"/>
      <c r="R3" s="1"/>
      <c r="S3" s="10">
        <f t="shared" si="0"/>
        <v>0</v>
      </c>
      <c r="T3" s="10">
        <f t="shared" si="1"/>
        <v>0</v>
      </c>
      <c r="U3" s="10">
        <f t="shared" si="2"/>
        <v>10.00625</v>
      </c>
      <c r="V3" s="10">
        <f t="shared" si="3"/>
        <v>10.00625</v>
      </c>
      <c r="W3" s="9">
        <f>IF(V3&gt;0,V3*'Control Panel'!$B$3,)</f>
        <v>1.5009374999999998</v>
      </c>
    </row>
    <row r="4" spans="1:23" s="3" customFormat="1" x14ac:dyDescent="0.2">
      <c r="A4" s="6">
        <v>43117.390277777777</v>
      </c>
      <c r="B4" s="2" t="s">
        <v>4</v>
      </c>
      <c r="C4" s="4">
        <v>0.80200000000000005</v>
      </c>
      <c r="D4" s="10">
        <f>USDValueAtTime(A4,B4,C4,'Control Panel'!$B$2)</f>
        <v>5.5017200000000006</v>
      </c>
      <c r="E4" s="1" t="s">
        <v>11</v>
      </c>
      <c r="F4" s="1" t="s">
        <v>13</v>
      </c>
      <c r="G4" s="2" t="s">
        <v>32</v>
      </c>
      <c r="H4" s="1"/>
      <c r="I4" s="1"/>
      <c r="J4" s="1"/>
      <c r="K4" s="8">
        <f t="shared" ref="K4:K7" si="4">IF(AND(B4="VRM",E4="Credit",G4="Y"),C4+K3,IF(AND(B4="VRM",E4="Debit",G4="Y"),(C4*-1)+K3,K3))</f>
        <v>2.4554999999999998</v>
      </c>
      <c r="L4" s="8">
        <f t="shared" ref="L4:L7" si="5">IF(AND($B4="VRC",$E4="Credit",$G4="Y"),$C4+L3,IF(AND($B4="VRC",$E4="Debit",$G4="Y"),($C4*-1)+L3,L3))</f>
        <v>0</v>
      </c>
      <c r="M4" s="8">
        <f t="shared" ref="M4:M7" si="6">IF(AND($B4="BURST",$E4="Credit",$G4="Y"),$C4+M3,IF(AND($B4="BURST",$E4="Debit",$G4="Y"),($C4*-1)+M3,M3))</f>
        <v>0</v>
      </c>
      <c r="N4" s="8">
        <f t="shared" ref="N4:N7" si="7">IF(AND($B4="BTC",$E4="Credit",$G4="Y"),$C4+N3,IF(AND($B4="BTC",$E4="Debit",$G4="Y"),($C4*-1)+N3,N3))</f>
        <v>0</v>
      </c>
      <c r="O4" s="8">
        <f t="shared" ref="O4:O7" si="8">IF(AND($B4="ETH",$E4="Credit",$G4="Y"),$C4+O3,IF(AND($B4="ETH",$E4="Debit",$G4="Y"),($C4*-1)+O3,O3))</f>
        <v>0</v>
      </c>
      <c r="P4" s="10">
        <f>USDValueAtTime(A4,"VRM",K4,'Control Panel'!$B$2)+USDValueAtTime(A4,"VRC",L4,'Control Panel'!$B$2)+USDValueAtTime(A4,"BURST",M4,'Control Panel'!$B$2)+USDValueAtTime(A4,"BTC",N4,'Control Panel'!$B$2)+USDValueAtTime(A4,"ETH",O4,'Control Panel'!$B$2)</f>
        <v>16.844729999999998</v>
      </c>
      <c r="Q4" s="1"/>
      <c r="R4" s="1"/>
      <c r="S4" s="10">
        <f t="shared" si="0"/>
        <v>0</v>
      </c>
      <c r="T4" s="10">
        <f t="shared" si="1"/>
        <v>0</v>
      </c>
      <c r="U4" s="10">
        <f t="shared" si="2"/>
        <v>5.5017200000000006</v>
      </c>
      <c r="V4" s="10">
        <f t="shared" ref="V4:V7" si="9">SUM(S4:U4)</f>
        <v>5.5017200000000006</v>
      </c>
      <c r="W4" s="9">
        <f>IF(V4&gt;0,V4*'Control Panel'!$B$3,)</f>
        <v>0.82525800000000005</v>
      </c>
    </row>
    <row r="5" spans="1:23" s="3" customFormat="1" x14ac:dyDescent="0.2">
      <c r="A5" s="6">
        <v>43120.020138888889</v>
      </c>
      <c r="B5" s="2" t="s">
        <v>4</v>
      </c>
      <c r="C5" s="4">
        <v>0.80120000000000002</v>
      </c>
      <c r="D5" s="10">
        <f>USDValueAtTime(A5,B5,C5,'Control Panel'!$B$2)</f>
        <v>7.6835079999999998</v>
      </c>
      <c r="E5" s="1" t="s">
        <v>11</v>
      </c>
      <c r="F5" s="1" t="s">
        <v>13</v>
      </c>
      <c r="G5" s="2" t="s">
        <v>32</v>
      </c>
      <c r="H5" s="1"/>
      <c r="I5" s="1"/>
      <c r="J5" s="1"/>
      <c r="K5" s="8">
        <f t="shared" si="4"/>
        <v>3.2566999999999999</v>
      </c>
      <c r="L5" s="8">
        <f t="shared" si="5"/>
        <v>0</v>
      </c>
      <c r="M5" s="8">
        <f t="shared" si="6"/>
        <v>0</v>
      </c>
      <c r="N5" s="8">
        <f t="shared" si="7"/>
        <v>0</v>
      </c>
      <c r="O5" s="8">
        <f t="shared" si="8"/>
        <v>0</v>
      </c>
      <c r="P5" s="10">
        <f>USDValueAtTime(A5,"VRM",K5,'Control Panel'!$B$2)+USDValueAtTime(A5,"VRC",L5,'Control Panel'!$B$2)+USDValueAtTime(A5,"BURST",M5,'Control Panel'!$B$2)+USDValueAtTime(A5,"BTC",N5,'Control Panel'!$B$2)+USDValueAtTime(A5,"ETH",O5,'Control Panel'!$B$2)</f>
        <v>31.231752999999998</v>
      </c>
      <c r="Q5" s="1"/>
      <c r="R5" s="1"/>
      <c r="S5" s="10">
        <f t="shared" si="0"/>
        <v>0</v>
      </c>
      <c r="T5" s="10">
        <f t="shared" si="1"/>
        <v>0</v>
      </c>
      <c r="U5" s="10">
        <f t="shared" si="2"/>
        <v>7.6835079999999998</v>
      </c>
      <c r="V5" s="10">
        <f t="shared" si="9"/>
        <v>7.6835079999999998</v>
      </c>
      <c r="W5" s="9">
        <f>IF(V5&gt;0,V5*'Control Panel'!$B$3,)</f>
        <v>1.1525261999999998</v>
      </c>
    </row>
    <row r="6" spans="1:23" s="3" customFormat="1" x14ac:dyDescent="0.2">
      <c r="A6" s="6">
        <v>43123.054861111108</v>
      </c>
      <c r="B6" s="2" t="s">
        <v>4</v>
      </c>
      <c r="C6" s="4">
        <v>0.80010000000000003</v>
      </c>
      <c r="D6" s="10">
        <f>USDValueAtTime(A6,B6,C6,'Control Panel'!$B$2)</f>
        <v>6.48081</v>
      </c>
      <c r="E6" s="1" t="s">
        <v>11</v>
      </c>
      <c r="F6" s="1" t="s">
        <v>13</v>
      </c>
      <c r="G6" s="2" t="s">
        <v>32</v>
      </c>
      <c r="H6" s="1"/>
      <c r="I6" s="1"/>
      <c r="J6" s="1"/>
      <c r="K6" s="8">
        <f t="shared" si="4"/>
        <v>4.0568</v>
      </c>
      <c r="L6" s="8">
        <f t="shared" si="5"/>
        <v>0</v>
      </c>
      <c r="M6" s="8">
        <f t="shared" si="6"/>
        <v>0</v>
      </c>
      <c r="N6" s="8">
        <f t="shared" si="7"/>
        <v>0</v>
      </c>
      <c r="O6" s="8">
        <f t="shared" si="8"/>
        <v>0</v>
      </c>
      <c r="P6" s="10">
        <f>USDValueAtTime(A6,"VRM",K6,'Control Panel'!$B$2)+USDValueAtTime(A6,"VRC",L6,'Control Panel'!$B$2)+USDValueAtTime(A6,"BURST",M6,'Control Panel'!$B$2)+USDValueAtTime(A6,"BTC",N6,'Control Panel'!$B$2)+USDValueAtTime(A6,"ETH",O6,'Control Panel'!$B$2)</f>
        <v>32.860079999999996</v>
      </c>
      <c r="Q6" s="1"/>
      <c r="R6" s="1"/>
      <c r="S6" s="10">
        <f t="shared" si="0"/>
        <v>0</v>
      </c>
      <c r="T6" s="10">
        <f t="shared" si="1"/>
        <v>0</v>
      </c>
      <c r="U6" s="10">
        <f t="shared" si="2"/>
        <v>6.48081</v>
      </c>
      <c r="V6" s="10">
        <f t="shared" si="9"/>
        <v>6.48081</v>
      </c>
      <c r="W6" s="9">
        <f>IF(V6&gt;0,V6*'Control Panel'!$B$3,)</f>
        <v>0.97212149999999997</v>
      </c>
    </row>
    <row r="7" spans="1:23" s="3" customFormat="1" x14ac:dyDescent="0.2">
      <c r="A7" s="6">
        <v>43125.657638888886</v>
      </c>
      <c r="B7" s="2" t="s">
        <v>22</v>
      </c>
      <c r="C7" s="4">
        <v>8.6805200000000006E-3</v>
      </c>
      <c r="D7" s="10">
        <f>USDValueAtTime(A7,B7,C7,'Control Panel'!$B$2)</f>
        <v>98.169910394400006</v>
      </c>
      <c r="E7" s="1" t="s">
        <v>11</v>
      </c>
      <c r="F7" s="1" t="s">
        <v>14</v>
      </c>
      <c r="G7" s="2" t="s">
        <v>37</v>
      </c>
      <c r="H7" s="1" t="s">
        <v>23</v>
      </c>
      <c r="I7" s="1"/>
      <c r="J7" s="1"/>
      <c r="K7" s="8">
        <f t="shared" si="4"/>
        <v>4.0568</v>
      </c>
      <c r="L7" s="8">
        <f t="shared" si="5"/>
        <v>0</v>
      </c>
      <c r="M7" s="8">
        <f t="shared" si="6"/>
        <v>0</v>
      </c>
      <c r="N7" s="8">
        <f t="shared" si="7"/>
        <v>0</v>
      </c>
      <c r="O7" s="8">
        <f t="shared" si="8"/>
        <v>0</v>
      </c>
      <c r="P7" s="10">
        <f>USDValueAtTime(A7,"VRM",K7,'Control Panel'!$B$2)+USDValueAtTime(A7,"VRC",L7,'Control Panel'!$B$2)+USDValueAtTime(A7,"BURST",M7,'Control Panel'!$B$2)+USDValueAtTime(A7,"BTC",N7,'Control Panel'!$B$2)+USDValueAtTime(A7,"ETH",O7,'Control Panel'!$B$2)</f>
        <v>32.170423999999997</v>
      </c>
      <c r="Q7" s="1"/>
      <c r="R7" s="1"/>
      <c r="S7" s="10">
        <f t="shared" si="0"/>
        <v>0</v>
      </c>
      <c r="T7" s="10">
        <f t="shared" si="1"/>
        <v>0</v>
      </c>
      <c r="U7" s="10">
        <f t="shared" si="2"/>
        <v>98.169910394400006</v>
      </c>
      <c r="V7" s="10">
        <f t="shared" si="9"/>
        <v>98.169910394400006</v>
      </c>
      <c r="W7" s="9">
        <f>IF(V7&gt;0,V7*'Control Panel'!$B$3,)</f>
        <v>14.72548655916</v>
      </c>
    </row>
    <row r="13" spans="1:23" x14ac:dyDescent="0.2">
      <c r="A1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Col">
                <anchor moveWithCells="1" sizeWithCells="1">
                  <from>
                    <xdr:col>3</xdr:col>
                    <xdr:colOff>38100</xdr:colOff>
                    <xdr:row>0</xdr:row>
                    <xdr:rowOff>66675</xdr:rowOff>
                  </from>
                  <to>
                    <xdr:col>3</xdr:col>
                    <xdr:colOff>1524000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"/>
  <sheetViews>
    <sheetView workbookViewId="0">
      <selection activeCell="B2" sqref="B2"/>
    </sheetView>
  </sheetViews>
  <sheetFormatPr defaultColWidth="8.7109375" defaultRowHeight="12.75" x14ac:dyDescent="0.2"/>
  <cols>
    <col min="1" max="1" width="17.28515625" style="1" bestFit="1" customWidth="1"/>
    <col min="2" max="2" width="8.7109375" style="1"/>
    <col min="3" max="3" width="33.85546875" style="1" bestFit="1" customWidth="1"/>
    <col min="4" max="16384" width="8.7109375" style="1"/>
  </cols>
  <sheetData>
    <row r="1" spans="1:3" x14ac:dyDescent="0.2">
      <c r="A1" s="1" t="s">
        <v>15</v>
      </c>
      <c r="B1" s="1" t="s">
        <v>16</v>
      </c>
      <c r="C1" s="1" t="s">
        <v>17</v>
      </c>
    </row>
    <row r="2" spans="1:3" x14ac:dyDescent="0.2">
      <c r="A2" s="1" t="s">
        <v>18</v>
      </c>
      <c r="B2" s="1" t="s">
        <v>19</v>
      </c>
      <c r="C2" s="1" t="s">
        <v>21</v>
      </c>
    </row>
    <row r="3" spans="1:3" x14ac:dyDescent="0.2">
      <c r="A3" s="1" t="s">
        <v>36</v>
      </c>
      <c r="B3" s="14">
        <v>0.15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73433-82CA-494C-A51D-EDCE5FC0CB66}">
  <dimension ref="A1:A4"/>
  <sheetViews>
    <sheetView tabSelected="1" workbookViewId="0">
      <selection activeCell="A5" sqref="A5"/>
    </sheetView>
  </sheetViews>
  <sheetFormatPr defaultRowHeight="15" x14ac:dyDescent="0.25"/>
  <cols>
    <col min="1" max="1" width="49.1406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E70B5F-D644-4A03-8CE8-9FA911F1AC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Q1 2018</vt:lpstr>
      <vt:lpstr>Control Panel</vt:lpstr>
      <vt:lpstr>Donate Please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Doscher</dc:creator>
  <cp:lastModifiedBy>Jay</cp:lastModifiedBy>
  <dcterms:created xsi:type="dcterms:W3CDTF">2018-02-28T16:47:36Z</dcterms:created>
  <dcterms:modified xsi:type="dcterms:W3CDTF">2018-05-21T20:27:31Z</dcterms:modified>
</cp:coreProperties>
</file>